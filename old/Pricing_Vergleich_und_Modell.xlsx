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aratre-my.sharepoint.com/personal/mathisbarthen_aratre_onmicrosoft_com/Documents/Projekt Nahom/Projekt X/"/>
    </mc:Choice>
  </mc:AlternateContent>
  <xr:revisionPtr revIDLastSave="266" documentId="8_{A11A9900-CB31-5942-99DA-53A980907AE7}" xr6:coauthVersionLast="47" xr6:coauthVersionMax="47" xr10:uidLastSave="{BE2F9C69-9598-4C63-8BF4-90C33C6362E0}"/>
  <bookViews>
    <workbookView xWindow="28680" yWindow="-120" windowWidth="38640" windowHeight="21120" activeTab="2" xr2:uid="{00000000-000D-0000-FFFF-FFFF00000000}"/>
  </bookViews>
  <sheets>
    <sheet name="Monetarisierung Inserate" sheetId="1" r:id="rId1"/>
    <sheet name="Monetarisierung Ads" sheetId="2" r:id="rId2"/>
    <sheet name="Monetarisierung Premium Suche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0" i="1" l="1"/>
  <c r="V53" i="1"/>
  <c r="U53" i="1"/>
  <c r="T53" i="1"/>
  <c r="K53" i="1"/>
  <c r="J53" i="1"/>
  <c r="I53" i="1"/>
  <c r="W53" i="1"/>
  <c r="X53" i="1"/>
  <c r="L53" i="1"/>
  <c r="M53" i="1"/>
  <c r="T63" i="1"/>
  <c r="I63" i="1"/>
  <c r="T62" i="1"/>
  <c r="T61" i="1"/>
  <c r="V50" i="1"/>
  <c r="U50" i="1"/>
  <c r="V49" i="1"/>
  <c r="U49" i="1"/>
  <c r="V48" i="1"/>
  <c r="U48" i="1"/>
  <c r="V47" i="1"/>
  <c r="U47" i="1"/>
  <c r="V46" i="1"/>
  <c r="U46" i="1"/>
  <c r="V45" i="1"/>
  <c r="U45" i="1"/>
  <c r="V44" i="1"/>
  <c r="U44" i="1"/>
  <c r="V43" i="1"/>
  <c r="U43" i="1"/>
  <c r="V40" i="1"/>
  <c r="V55" i="1" s="1"/>
  <c r="U40" i="1"/>
  <c r="U55" i="1" s="1"/>
  <c r="T40" i="1"/>
  <c r="T51" i="1" s="1"/>
  <c r="V18" i="1"/>
  <c r="U18" i="1"/>
  <c r="W18" i="1" s="1"/>
  <c r="V17" i="1"/>
  <c r="U17" i="1"/>
  <c r="W17" i="1" s="1"/>
  <c r="V16" i="1"/>
  <c r="U16" i="1"/>
  <c r="W16" i="1" s="1"/>
  <c r="V15" i="1"/>
  <c r="U15" i="1"/>
  <c r="W15" i="1" s="1"/>
  <c r="V14" i="1"/>
  <c r="U14" i="1"/>
  <c r="W14" i="1" s="1"/>
  <c r="V13" i="1"/>
  <c r="U13" i="1"/>
  <c r="W13" i="1" s="1"/>
  <c r="V12" i="1"/>
  <c r="U12" i="1"/>
  <c r="V11" i="1"/>
  <c r="U11" i="1"/>
  <c r="W11" i="1" s="1"/>
  <c r="W8" i="1"/>
  <c r="W23" i="1" s="1"/>
  <c r="V8" i="1"/>
  <c r="U8" i="1"/>
  <c r="T8" i="1"/>
  <c r="T24" i="1" s="1"/>
  <c r="I62" i="1"/>
  <c r="I6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0" i="1"/>
  <c r="K55" i="1" s="1"/>
  <c r="J40" i="1"/>
  <c r="J55" i="1" s="1"/>
  <c r="I40" i="1"/>
  <c r="I55" i="1" s="1"/>
  <c r="K17" i="1"/>
  <c r="K16" i="1"/>
  <c r="J17" i="1"/>
  <c r="L17" i="1" s="1"/>
  <c r="J16" i="1"/>
  <c r="L16" i="1" s="1"/>
  <c r="I8" i="1"/>
  <c r="I23" i="1" s="1"/>
  <c r="L8" i="1"/>
  <c r="L23" i="1" s="1"/>
  <c r="K18" i="1"/>
  <c r="K15" i="1"/>
  <c r="K14" i="1"/>
  <c r="K13" i="1"/>
  <c r="K12" i="1"/>
  <c r="J18" i="1"/>
  <c r="L18" i="1" s="1"/>
  <c r="J15" i="1"/>
  <c r="L15" i="1" s="1"/>
  <c r="J14" i="1"/>
  <c r="L14" i="1" s="1"/>
  <c r="J13" i="1"/>
  <c r="L13" i="1" s="1"/>
  <c r="J12" i="1"/>
  <c r="L12" i="1" s="1"/>
  <c r="K11" i="1"/>
  <c r="J11" i="1"/>
  <c r="L11" i="1" s="1"/>
  <c r="K8" i="1"/>
  <c r="K23" i="1" s="1"/>
  <c r="J8" i="1"/>
  <c r="J23" i="1" s="1"/>
  <c r="I19" i="1" l="1"/>
  <c r="I21" i="1" s="1"/>
  <c r="U51" i="1"/>
  <c r="I51" i="1"/>
  <c r="I56" i="1"/>
  <c r="I58" i="1" s="1"/>
  <c r="V19" i="1"/>
  <c r="V21" i="1" s="1"/>
  <c r="U56" i="1"/>
  <c r="U58" i="1" s="1"/>
  <c r="U19" i="1"/>
  <c r="U21" i="1" s="1"/>
  <c r="V56" i="1"/>
  <c r="V58" i="1" s="1"/>
  <c r="U24" i="1"/>
  <c r="U26" i="1" s="1"/>
  <c r="T26" i="1"/>
  <c r="V24" i="1"/>
  <c r="V26" i="1" s="1"/>
  <c r="T23" i="1"/>
  <c r="V51" i="1"/>
  <c r="W12" i="1"/>
  <c r="W19" i="1" s="1"/>
  <c r="W21" i="1" s="1"/>
  <c r="U23" i="1"/>
  <c r="T55" i="1"/>
  <c r="V23" i="1"/>
  <c r="T19" i="1"/>
  <c r="T21" i="1" s="1"/>
  <c r="T56" i="1"/>
  <c r="K56" i="1"/>
  <c r="K58" i="1" s="1"/>
  <c r="J56" i="1"/>
  <c r="J58" i="1" s="1"/>
  <c r="J51" i="1"/>
  <c r="K51" i="1"/>
  <c r="L24" i="1"/>
  <c r="L26" i="1" s="1"/>
  <c r="L19" i="1"/>
  <c r="L21" i="1" s="1"/>
  <c r="K24" i="1"/>
  <c r="K26" i="1" s="1"/>
  <c r="K19" i="1"/>
  <c r="K21" i="1" s="1"/>
  <c r="J24" i="1"/>
  <c r="J26" i="1" s="1"/>
  <c r="J19" i="1"/>
  <c r="J21" i="1" s="1"/>
  <c r="I24" i="1"/>
  <c r="I26" i="1" s="1"/>
  <c r="X21" i="1" l="1"/>
  <c r="R28" i="1" s="1"/>
  <c r="M21" i="1"/>
  <c r="G28" i="1" s="1"/>
  <c r="I30" i="1" s="1"/>
  <c r="I31" i="1"/>
  <c r="I29" i="1"/>
  <c r="M19" i="1"/>
  <c r="M51" i="1"/>
  <c r="X19" i="1"/>
  <c r="X51" i="1"/>
  <c r="T58" i="1"/>
  <c r="W24" i="1"/>
  <c r="W26" i="1" s="1"/>
  <c r="T31" i="1" l="1"/>
  <c r="T29" i="1"/>
  <c r="T30" i="1"/>
</calcChain>
</file>

<file path=xl/sharedStrings.xml><?xml version="1.0" encoding="utf-8"?>
<sst xmlns="http://schemas.openxmlformats.org/spreadsheetml/2006/main" count="137" uniqueCount="55">
  <si>
    <t>Anzahl Listings</t>
  </si>
  <si>
    <t>Pro</t>
  </si>
  <si>
    <t>Kosten Listing pro 30 Tage</t>
  </si>
  <si>
    <t>Branded Listing</t>
  </si>
  <si>
    <t>Video</t>
  </si>
  <si>
    <t>Boost / Premium / Platzierung</t>
  </si>
  <si>
    <t>Analytics (Anzeige)</t>
  </si>
  <si>
    <t>Analytics (Dashboard/Daten)</t>
  </si>
  <si>
    <t>Min</t>
  </si>
  <si>
    <t>Max</t>
  </si>
  <si>
    <t>Verifizierung (Bagde Anbieter)</t>
  </si>
  <si>
    <t>Summe</t>
  </si>
  <si>
    <t>Premium/Add-Ons (pro Inserat)</t>
  </si>
  <si>
    <t>Privat</t>
  </si>
  <si>
    <t>Commercial</t>
  </si>
  <si>
    <t>Anzahl Aktive Listings</t>
  </si>
  <si>
    <t>&gt;50</t>
  </si>
  <si>
    <t>Basic (Kosten Pro Listing)</t>
  </si>
  <si>
    <t>Basispreis</t>
  </si>
  <si>
    <t>Discount</t>
  </si>
  <si>
    <t>Social Media</t>
  </si>
  <si>
    <t>Fotos (&gt;3)</t>
  </si>
  <si>
    <t>pro Inserat</t>
  </si>
  <si>
    <t>Anbieter (Wohnen)</t>
  </si>
  <si>
    <t>Mieten</t>
  </si>
  <si>
    <t>Kaufen</t>
  </si>
  <si>
    <t>Anbieter (Gewerbe)</t>
  </si>
  <si>
    <t>Anzeigen (Potenzial) pro Monat</t>
  </si>
  <si>
    <t>Umsatz p.a.</t>
  </si>
  <si>
    <t>Jahr 1</t>
  </si>
  <si>
    <t>Jahr 2</t>
  </si>
  <si>
    <t>Jahr 3-5</t>
  </si>
  <si>
    <t>Ab 2. Jahr Werbung</t>
  </si>
  <si>
    <t>Einnahmequelle</t>
  </si>
  <si>
    <t>Preis</t>
  </si>
  <si>
    <t>Menge/Monat</t>
  </si>
  <si>
    <t>Monatlicher Umsatz</t>
  </si>
  <si>
    <t>Display Ads/ Banner</t>
  </si>
  <si>
    <t>4 Euro/1000 Views</t>
  </si>
  <si>
    <t>120 Euro</t>
  </si>
  <si>
    <t>Zahler</t>
  </si>
  <si>
    <t>Werbetreibende</t>
  </si>
  <si>
    <t>In App Werbung</t>
  </si>
  <si>
    <t>z.B. Kreditgeber</t>
  </si>
  <si>
    <t>0,03Euro/1 Views</t>
  </si>
  <si>
    <t>1150 Euro</t>
  </si>
  <si>
    <t>Ab. 2-3 Jahr Premium für User</t>
  </si>
  <si>
    <t>Premium</t>
  </si>
  <si>
    <t>(nur für Premium Nutzer sichtbar)</t>
  </si>
  <si>
    <t>(individueller Support)</t>
  </si>
  <si>
    <t xml:space="preserve">Abopreis= 3.50 Euro </t>
  </si>
  <si>
    <t>100.000 X 3,50 = 350.000</t>
  </si>
  <si>
    <t>1. Frühzeitig zu neuen Listings</t>
  </si>
  <si>
    <t>2. Exclusive Immobilienangebote</t>
  </si>
  <si>
    <t>3. Personalisierte Beratungsdienste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</si>
</sst>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/>
    <xf numFmtId="43" fontId="0" fillId="0" borderId="0" xfId="1" applyFont="1"/>
    <xf numFmtId="10" fontId="2" fillId="0" borderId="0" xfId="3" applyNumberFormat="1" applyFont="1"/>
    <xf numFmtId="164" fontId="0" fillId="0" borderId="0" xfId="2" applyNumberFormat="1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164" fontId="5" fillId="0" borderId="0" xfId="0" applyNumberFormat="1" applyFont="1"/>
    <xf numFmtId="164" fontId="6" fillId="0" borderId="0" xfId="0" applyNumberFormat="1" applyFont="1"/>
    <xf numFmtId="9" fontId="0" fillId="0" borderId="0" xfId="0" applyNumberFormat="1"/>
    <xf numFmtId="0" fontId="7" fillId="0" borderId="0" xfId="0" applyFont="1"/>
    <xf numFmtId="164" fontId="2" fillId="0" borderId="0" xfId="0" applyNumberFormat="1" applyFont="1"/>
    <xf numFmtId="9" fontId="3" fillId="0" borderId="0" xfId="0" applyNumberFormat="1" applyFont="1"/>
    <xf numFmtId="3" fontId="0" fillId="0" borderId="0" xfId="0" applyNumberFormat="1"/>
    <xf numFmtId="0" fontId="0" fillId="0" borderId="0" xfId="0" applyAlignment="1">
      <alignment horizontal="center"/>
    </xf>
  </cellXfs>
  <cellStyles count="4">
    <cellStyle name="Komma" xfId="1" builtinId="3"/>
    <cellStyle name="Prozent" xfId="3" builtinId="5"/>
    <cellStyle name="Standard" xfId="0" builtinId="0"/>
    <cellStyle name="Währung" xfId="2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64"/>
  <sheetViews>
    <sheetView topLeftCell="G1" zoomScale="82" zoomScaleNormal="82" workbookViewId="0">
      <selection activeCell="I61" activeCellId="3" sqref="T61 T29 I29 I61"/>
    </sheetView>
  </sheetViews>
  <sheetFormatPr baseColWidth="10" defaultColWidth="8.77734375" defaultRowHeight="14.4" x14ac:dyDescent="0.3"/>
  <cols>
    <col min="7" max="7" width="29" bestFit="1" customWidth="1"/>
    <col min="8" max="8" width="35.109375" customWidth="1"/>
    <col min="9" max="9" width="16.109375" bestFit="1" customWidth="1"/>
    <col min="10" max="10" width="15.44140625" bestFit="1" customWidth="1"/>
    <col min="11" max="11" width="15.6640625" customWidth="1"/>
    <col min="12" max="13" width="17.44140625" customWidth="1"/>
    <col min="18" max="18" width="12.6640625" bestFit="1" customWidth="1"/>
    <col min="19" max="19" width="29.33203125" customWidth="1"/>
    <col min="20" max="20" width="18" customWidth="1"/>
    <col min="21" max="21" width="11.44140625" customWidth="1"/>
    <col min="22" max="22" width="11.33203125" customWidth="1"/>
    <col min="24" max="24" width="20.5546875" customWidth="1"/>
  </cols>
  <sheetData>
    <row r="2" spans="2:24" ht="25.8" x14ac:dyDescent="0.5">
      <c r="B2" s="15" t="s">
        <v>23</v>
      </c>
      <c r="G2" s="15" t="s">
        <v>24</v>
      </c>
      <c r="H2" s="3" t="s">
        <v>2</v>
      </c>
      <c r="I2" s="19" t="s">
        <v>15</v>
      </c>
      <c r="J2" s="19"/>
      <c r="K2" s="19"/>
      <c r="L2" s="19"/>
      <c r="N2" s="15" t="s">
        <v>26</v>
      </c>
      <c r="R2" s="15" t="s">
        <v>24</v>
      </c>
      <c r="S2" s="3" t="s">
        <v>2</v>
      </c>
      <c r="T2" s="19" t="s">
        <v>15</v>
      </c>
      <c r="U2" s="19"/>
      <c r="V2" s="19"/>
      <c r="W2" s="19"/>
    </row>
    <row r="3" spans="2:24" x14ac:dyDescent="0.3">
      <c r="I3" t="s">
        <v>13</v>
      </c>
      <c r="J3" s="19" t="s">
        <v>14</v>
      </c>
      <c r="K3" s="19"/>
      <c r="L3" t="s">
        <v>1</v>
      </c>
      <c r="M3" s="1"/>
      <c r="T3" t="s">
        <v>13</v>
      </c>
      <c r="U3" s="19" t="s">
        <v>14</v>
      </c>
      <c r="V3" s="19"/>
      <c r="W3" t="s">
        <v>1</v>
      </c>
      <c r="X3" s="1"/>
    </row>
    <row r="4" spans="2:24" x14ac:dyDescent="0.3">
      <c r="H4" t="s">
        <v>0</v>
      </c>
      <c r="I4">
        <v>5</v>
      </c>
      <c r="J4" s="1">
        <v>25</v>
      </c>
      <c r="K4" s="1">
        <v>50</v>
      </c>
      <c r="L4" s="1" t="s">
        <v>16</v>
      </c>
      <c r="M4" s="1"/>
      <c r="S4" t="s">
        <v>0</v>
      </c>
      <c r="T4">
        <v>5</v>
      </c>
      <c r="U4" s="1">
        <v>25</v>
      </c>
      <c r="V4" s="1">
        <v>50</v>
      </c>
      <c r="W4" s="1" t="s">
        <v>16</v>
      </c>
      <c r="X4" s="1"/>
    </row>
    <row r="5" spans="2:24" x14ac:dyDescent="0.3">
      <c r="I5">
        <v>1</v>
      </c>
      <c r="J5">
        <v>1</v>
      </c>
      <c r="K5">
        <v>1</v>
      </c>
      <c r="L5">
        <v>1</v>
      </c>
      <c r="M5" s="11"/>
      <c r="T5">
        <v>1</v>
      </c>
      <c r="U5">
        <v>1</v>
      </c>
      <c r="V5">
        <v>1</v>
      </c>
      <c r="W5">
        <v>1</v>
      </c>
      <c r="X5" s="11"/>
    </row>
    <row r="6" spans="2:24" x14ac:dyDescent="0.3">
      <c r="H6" t="s">
        <v>18</v>
      </c>
      <c r="I6">
        <v>0</v>
      </c>
      <c r="J6">
        <v>0</v>
      </c>
      <c r="K6">
        <v>0</v>
      </c>
      <c r="L6">
        <v>0</v>
      </c>
      <c r="M6" s="11"/>
      <c r="S6" t="s">
        <v>18</v>
      </c>
      <c r="T6">
        <v>0</v>
      </c>
      <c r="U6">
        <v>0</v>
      </c>
      <c r="V6">
        <v>0</v>
      </c>
      <c r="W6">
        <v>0</v>
      </c>
      <c r="X6" s="11"/>
    </row>
    <row r="7" spans="2:24" x14ac:dyDescent="0.3">
      <c r="H7" t="s">
        <v>19</v>
      </c>
      <c r="I7" s="14">
        <v>0</v>
      </c>
      <c r="J7" s="14">
        <v>0.2</v>
      </c>
      <c r="K7" s="14">
        <v>0.3</v>
      </c>
      <c r="L7" s="14">
        <v>0.5</v>
      </c>
      <c r="M7" s="11"/>
      <c r="S7" t="s">
        <v>19</v>
      </c>
      <c r="T7" s="14">
        <v>0</v>
      </c>
      <c r="U7" s="14">
        <v>0.2</v>
      </c>
      <c r="V7" s="14">
        <v>0.3</v>
      </c>
      <c r="W7" s="14">
        <v>0.5</v>
      </c>
      <c r="X7" s="11"/>
    </row>
    <row r="8" spans="2:24" x14ac:dyDescent="0.3">
      <c r="H8" s="3" t="s">
        <v>17</v>
      </c>
      <c r="I8" s="2">
        <f>I6*(1-I7)</f>
        <v>0</v>
      </c>
      <c r="J8" s="2">
        <f>J6*(1-J7)</f>
        <v>0</v>
      </c>
      <c r="K8" s="2">
        <f>K6*(1-K7)</f>
        <v>0</v>
      </c>
      <c r="L8" s="2">
        <f>L6*(1-L7)</f>
        <v>0</v>
      </c>
      <c r="M8" s="12"/>
      <c r="S8" s="3" t="s">
        <v>17</v>
      </c>
      <c r="T8" s="2">
        <f>T6*(1-T7)</f>
        <v>0</v>
      </c>
      <c r="U8" s="2">
        <f>U6*(1-U7)</f>
        <v>0</v>
      </c>
      <c r="V8" s="2">
        <f>V6*(1-V7)</f>
        <v>0</v>
      </c>
      <c r="W8" s="2">
        <f>W6*(1-W7)</f>
        <v>0</v>
      </c>
      <c r="X8" s="12"/>
    </row>
    <row r="9" spans="2:24" x14ac:dyDescent="0.3">
      <c r="I9" s="2"/>
      <c r="J9" s="2"/>
      <c r="K9" s="2"/>
      <c r="L9" s="12"/>
      <c r="M9" s="12"/>
      <c r="T9" s="2"/>
      <c r="U9" s="2"/>
      <c r="V9" s="2"/>
      <c r="W9" s="12"/>
      <c r="X9" s="12"/>
    </row>
    <row r="10" spans="2:24" x14ac:dyDescent="0.3">
      <c r="H10" s="3" t="s">
        <v>12</v>
      </c>
      <c r="I10" s="2"/>
      <c r="J10" s="2"/>
      <c r="K10" s="2"/>
      <c r="L10" s="12"/>
      <c r="M10" s="12"/>
      <c r="S10" s="3" t="s">
        <v>12</v>
      </c>
      <c r="T10" s="2"/>
      <c r="U10" s="2"/>
      <c r="V10" s="2"/>
      <c r="W10" s="12"/>
      <c r="X10" s="12"/>
    </row>
    <row r="11" spans="2:24" x14ac:dyDescent="0.3">
      <c r="H11" t="s">
        <v>3</v>
      </c>
      <c r="I11" s="2">
        <v>2.5</v>
      </c>
      <c r="J11" s="2">
        <f t="shared" ref="J11:J18" si="0">I11*(1-$J$7)</f>
        <v>2</v>
      </c>
      <c r="K11" s="2">
        <f t="shared" ref="K11:L18" si="1">I11*(1-$K$7)</f>
        <v>1.75</v>
      </c>
      <c r="L11" s="2">
        <f t="shared" si="1"/>
        <v>1.4</v>
      </c>
      <c r="M11" s="12"/>
      <c r="S11" t="s">
        <v>3</v>
      </c>
      <c r="T11" s="2">
        <v>10</v>
      </c>
      <c r="U11" s="2">
        <f t="shared" ref="U11:U18" si="2">T11*(1-$J$7)</f>
        <v>8</v>
      </c>
      <c r="V11" s="2">
        <f t="shared" ref="V11:W18" si="3">T11*(1-$K$7)</f>
        <v>7</v>
      </c>
      <c r="W11" s="2">
        <f t="shared" si="3"/>
        <v>5.6</v>
      </c>
      <c r="X11" s="12"/>
    </row>
    <row r="12" spans="2:24" x14ac:dyDescent="0.3">
      <c r="H12" t="s">
        <v>6</v>
      </c>
      <c r="I12" s="2">
        <v>2.5</v>
      </c>
      <c r="J12" s="2">
        <f t="shared" si="0"/>
        <v>2</v>
      </c>
      <c r="K12" s="2">
        <f t="shared" si="1"/>
        <v>1.75</v>
      </c>
      <c r="L12" s="2">
        <f t="shared" si="1"/>
        <v>1.4</v>
      </c>
      <c r="M12" s="12"/>
      <c r="S12" t="s">
        <v>6</v>
      </c>
      <c r="T12" s="2">
        <v>10</v>
      </c>
      <c r="U12" s="2">
        <f t="shared" si="2"/>
        <v>8</v>
      </c>
      <c r="V12" s="2">
        <f t="shared" si="3"/>
        <v>7</v>
      </c>
      <c r="W12" s="2">
        <f t="shared" si="3"/>
        <v>5.6</v>
      </c>
      <c r="X12" s="12"/>
    </row>
    <row r="13" spans="2:24" x14ac:dyDescent="0.3">
      <c r="H13" t="s">
        <v>5</v>
      </c>
      <c r="I13" s="2">
        <v>5</v>
      </c>
      <c r="J13" s="2">
        <f t="shared" si="0"/>
        <v>4</v>
      </c>
      <c r="K13" s="2">
        <f t="shared" si="1"/>
        <v>3.5</v>
      </c>
      <c r="L13" s="2">
        <f t="shared" si="1"/>
        <v>2.8</v>
      </c>
      <c r="M13" s="12"/>
      <c r="S13" t="s">
        <v>5</v>
      </c>
      <c r="T13" s="2">
        <v>20</v>
      </c>
      <c r="U13" s="2">
        <f t="shared" si="2"/>
        <v>16</v>
      </c>
      <c r="V13" s="2">
        <f t="shared" si="3"/>
        <v>14</v>
      </c>
      <c r="W13" s="2">
        <f t="shared" si="3"/>
        <v>11.2</v>
      </c>
      <c r="X13" s="12"/>
    </row>
    <row r="14" spans="2:24" x14ac:dyDescent="0.3">
      <c r="H14" t="s">
        <v>7</v>
      </c>
      <c r="I14" s="2">
        <v>5</v>
      </c>
      <c r="J14" s="2">
        <f t="shared" si="0"/>
        <v>4</v>
      </c>
      <c r="K14" s="2">
        <f t="shared" si="1"/>
        <v>3.5</v>
      </c>
      <c r="L14" s="2">
        <f t="shared" si="1"/>
        <v>2.8</v>
      </c>
      <c r="M14" s="12"/>
      <c r="S14" t="s">
        <v>7</v>
      </c>
      <c r="T14" s="2">
        <v>20</v>
      </c>
      <c r="U14" s="2">
        <f t="shared" si="2"/>
        <v>16</v>
      </c>
      <c r="V14" s="2">
        <f t="shared" si="3"/>
        <v>14</v>
      </c>
      <c r="W14" s="2">
        <f t="shared" si="3"/>
        <v>11.2</v>
      </c>
      <c r="X14" s="12"/>
    </row>
    <row r="15" spans="2:24" x14ac:dyDescent="0.3">
      <c r="H15" t="s">
        <v>4</v>
      </c>
      <c r="I15" s="2">
        <v>3.5</v>
      </c>
      <c r="J15" s="2">
        <f t="shared" si="0"/>
        <v>2.8000000000000003</v>
      </c>
      <c r="K15" s="2">
        <f t="shared" si="1"/>
        <v>2.4499999999999997</v>
      </c>
      <c r="L15" s="2">
        <f t="shared" si="1"/>
        <v>1.96</v>
      </c>
      <c r="M15" s="12"/>
      <c r="S15" t="s">
        <v>4</v>
      </c>
      <c r="T15" s="2">
        <v>10</v>
      </c>
      <c r="U15" s="2">
        <f t="shared" si="2"/>
        <v>8</v>
      </c>
      <c r="V15" s="2">
        <f t="shared" si="3"/>
        <v>7</v>
      </c>
      <c r="W15" s="2">
        <f t="shared" si="3"/>
        <v>5.6</v>
      </c>
      <c r="X15" s="12"/>
    </row>
    <row r="16" spans="2:24" x14ac:dyDescent="0.3">
      <c r="H16" t="s">
        <v>21</v>
      </c>
      <c r="I16" s="2">
        <v>3.5</v>
      </c>
      <c r="J16" s="2">
        <f t="shared" si="0"/>
        <v>2.8000000000000003</v>
      </c>
      <c r="K16" s="2">
        <f t="shared" si="1"/>
        <v>2.4499999999999997</v>
      </c>
      <c r="L16" s="2">
        <f t="shared" si="1"/>
        <v>1.96</v>
      </c>
      <c r="M16" s="12"/>
      <c r="S16" t="s">
        <v>21</v>
      </c>
      <c r="T16" s="2">
        <v>10</v>
      </c>
      <c r="U16" s="2">
        <f t="shared" si="2"/>
        <v>8</v>
      </c>
      <c r="V16" s="2">
        <f t="shared" si="3"/>
        <v>7</v>
      </c>
      <c r="W16" s="2">
        <f t="shared" si="3"/>
        <v>5.6</v>
      </c>
      <c r="X16" s="12"/>
    </row>
    <row r="17" spans="7:26" x14ac:dyDescent="0.3">
      <c r="H17" t="s">
        <v>20</v>
      </c>
      <c r="I17" s="2">
        <v>1.5</v>
      </c>
      <c r="J17" s="2">
        <f t="shared" si="0"/>
        <v>1.2000000000000002</v>
      </c>
      <c r="K17" s="2">
        <f t="shared" si="1"/>
        <v>1.0499999999999998</v>
      </c>
      <c r="L17" s="2">
        <f t="shared" si="1"/>
        <v>0.84000000000000008</v>
      </c>
      <c r="M17" s="12"/>
      <c r="S17" t="s">
        <v>20</v>
      </c>
      <c r="T17" s="2">
        <v>5</v>
      </c>
      <c r="U17" s="2">
        <f t="shared" si="2"/>
        <v>4</v>
      </c>
      <c r="V17" s="2">
        <f t="shared" si="3"/>
        <v>3.5</v>
      </c>
      <c r="W17" s="2">
        <f t="shared" si="3"/>
        <v>2.8</v>
      </c>
      <c r="X17" s="12"/>
    </row>
    <row r="18" spans="7:26" x14ac:dyDescent="0.3">
      <c r="H18" t="s">
        <v>10</v>
      </c>
      <c r="I18" s="2">
        <v>2.5</v>
      </c>
      <c r="J18" s="2">
        <f t="shared" si="0"/>
        <v>2</v>
      </c>
      <c r="K18" s="2">
        <f t="shared" si="1"/>
        <v>1.75</v>
      </c>
      <c r="L18" s="2">
        <f t="shared" si="1"/>
        <v>1.4</v>
      </c>
      <c r="M18" s="12"/>
      <c r="S18" t="s">
        <v>10</v>
      </c>
      <c r="T18" s="2">
        <v>8</v>
      </c>
      <c r="U18" s="2">
        <f t="shared" si="2"/>
        <v>6.4</v>
      </c>
      <c r="V18" s="2">
        <f t="shared" si="3"/>
        <v>5.6</v>
      </c>
      <c r="W18" s="2">
        <f t="shared" si="3"/>
        <v>4.4799999999999995</v>
      </c>
      <c r="X18" s="12"/>
    </row>
    <row r="19" spans="7:26" x14ac:dyDescent="0.3">
      <c r="H19" s="7" t="s">
        <v>11</v>
      </c>
      <c r="I19" s="8">
        <f>SUM(I8:I18)</f>
        <v>26</v>
      </c>
      <c r="J19" s="8">
        <f>SUM(J8:J18)</f>
        <v>20.8</v>
      </c>
      <c r="K19" s="8">
        <f>SUM(K8:K18)</f>
        <v>18.2</v>
      </c>
      <c r="L19" s="8">
        <f>SUM(L8:L18)</f>
        <v>14.56</v>
      </c>
      <c r="M19" s="12">
        <f>AVERAGE(I19:L19)</f>
        <v>19.89</v>
      </c>
      <c r="S19" s="7" t="s">
        <v>11</v>
      </c>
      <c r="T19" s="8">
        <f>SUM(T8:T18)</f>
        <v>93</v>
      </c>
      <c r="U19" s="8">
        <f>SUM(U8:U18)</f>
        <v>74.400000000000006</v>
      </c>
      <c r="V19" s="8">
        <f>SUM(V8:V18)</f>
        <v>65.099999999999994</v>
      </c>
      <c r="W19" s="8">
        <f>SUM(W8:W18)</f>
        <v>52.079999999999991</v>
      </c>
      <c r="X19" s="12">
        <f xml:space="preserve"> AVERAGE(T19:W19)</f>
        <v>71.144999999999996</v>
      </c>
    </row>
    <row r="20" spans="7:26" x14ac:dyDescent="0.3">
      <c r="H20" s="7"/>
      <c r="I20" s="8"/>
      <c r="J20" s="8"/>
      <c r="K20" s="8"/>
      <c r="L20" s="8"/>
      <c r="M20" s="12"/>
      <c r="S20" s="7"/>
      <c r="T20" s="8"/>
      <c r="U20" s="8"/>
      <c r="V20" s="8"/>
      <c r="W20" s="8"/>
      <c r="X20" s="12"/>
    </row>
    <row r="21" spans="7:26" x14ac:dyDescent="0.3">
      <c r="H21" s="17">
        <v>0.5</v>
      </c>
      <c r="I21" s="8">
        <f>I19*$H$21</f>
        <v>13</v>
      </c>
      <c r="J21" s="8">
        <f>J19*$H$21</f>
        <v>10.4</v>
      </c>
      <c r="K21" s="8">
        <f>K19*$H$21</f>
        <v>9.1</v>
      </c>
      <c r="L21" s="8">
        <f>L19*$H$21</f>
        <v>7.28</v>
      </c>
      <c r="M21" s="12">
        <f>AVERAGE(I21:L21)</f>
        <v>9.9450000000000003</v>
      </c>
      <c r="S21" s="17">
        <v>0.5</v>
      </c>
      <c r="T21" s="8">
        <f>T19*$S$21</f>
        <v>46.5</v>
      </c>
      <c r="U21" s="8">
        <f>U19*$S$21</f>
        <v>37.200000000000003</v>
      </c>
      <c r="V21" s="8">
        <f>V19*$S$21</f>
        <v>32.549999999999997</v>
      </c>
      <c r="W21" s="8">
        <f>W19*$S$21</f>
        <v>26.039999999999996</v>
      </c>
      <c r="X21" s="12">
        <f>AVERAGE(T21:W21)</f>
        <v>35.572499999999998</v>
      </c>
    </row>
    <row r="22" spans="7:26" x14ac:dyDescent="0.3">
      <c r="M22" s="11"/>
    </row>
    <row r="23" spans="7:26" x14ac:dyDescent="0.3">
      <c r="H23" s="9" t="s">
        <v>8</v>
      </c>
      <c r="I23" s="10">
        <f>I8</f>
        <v>0</v>
      </c>
      <c r="J23" s="10">
        <f>J8/J5</f>
        <v>0</v>
      </c>
      <c r="K23" s="10">
        <f>K8/K5</f>
        <v>0</v>
      </c>
      <c r="L23" s="10">
        <f>L8/L5</f>
        <v>0</v>
      </c>
      <c r="M23" s="13"/>
      <c r="S23" s="9" t="s">
        <v>8</v>
      </c>
      <c r="T23" s="10">
        <f>T8</f>
        <v>0</v>
      </c>
      <c r="U23" s="10">
        <f>U8/U5</f>
        <v>0</v>
      </c>
      <c r="V23" s="10">
        <f>V8/V5</f>
        <v>0</v>
      </c>
      <c r="W23" s="10">
        <f>W8/W5</f>
        <v>0</v>
      </c>
      <c r="X23" s="13"/>
    </row>
    <row r="24" spans="7:26" x14ac:dyDescent="0.3">
      <c r="H24" s="9" t="s">
        <v>9</v>
      </c>
      <c r="I24" s="10">
        <f>SUM(I8:I18)/I5</f>
        <v>26</v>
      </c>
      <c r="J24" s="10">
        <f>SUM(J8:J18)/J5</f>
        <v>20.8</v>
      </c>
      <c r="K24" s="10">
        <f>SUM(K8:K18)/K5</f>
        <v>18.2</v>
      </c>
      <c r="L24" s="10">
        <f>SUM(L8:L18)/L5</f>
        <v>14.56</v>
      </c>
      <c r="M24" s="13"/>
      <c r="S24" s="9" t="s">
        <v>9</v>
      </c>
      <c r="T24" s="10">
        <f>SUM(T8:T18)/T5</f>
        <v>93</v>
      </c>
      <c r="U24" s="10">
        <f>SUM(U8:U18)/U5</f>
        <v>74.400000000000006</v>
      </c>
      <c r="V24" s="10">
        <f>SUM(V8:V18)/V5</f>
        <v>65.099999999999994</v>
      </c>
      <c r="W24" s="10">
        <f>SUM(W8:W18)/W5</f>
        <v>52.079999999999991</v>
      </c>
      <c r="X24" s="13"/>
      <c r="Z24" s="2"/>
    </row>
    <row r="25" spans="7:26" x14ac:dyDescent="0.3">
      <c r="M25" s="11"/>
      <c r="X25" s="11"/>
    </row>
    <row r="26" spans="7:26" x14ac:dyDescent="0.3">
      <c r="H26" s="9" t="s">
        <v>22</v>
      </c>
      <c r="I26" s="10">
        <f>I24/I5</f>
        <v>26</v>
      </c>
      <c r="J26" s="10">
        <f>J24/J5</f>
        <v>20.8</v>
      </c>
      <c r="K26" s="10">
        <f>K24/K5</f>
        <v>18.2</v>
      </c>
      <c r="L26" s="10">
        <f>L24/L5</f>
        <v>14.56</v>
      </c>
      <c r="M26" s="12"/>
      <c r="S26" s="9" t="s">
        <v>22</v>
      </c>
      <c r="T26" s="10">
        <f>T24/T5</f>
        <v>93</v>
      </c>
      <c r="U26" s="10">
        <f>U24/U5</f>
        <v>74.400000000000006</v>
      </c>
      <c r="V26" s="10">
        <f>V24/V5</f>
        <v>65.099999999999994</v>
      </c>
      <c r="W26" s="10">
        <f>W24/W5</f>
        <v>52.079999999999991</v>
      </c>
      <c r="X26" s="12"/>
    </row>
    <row r="28" spans="7:26" x14ac:dyDescent="0.3">
      <c r="G28" s="16">
        <f>M21</f>
        <v>9.9450000000000003</v>
      </c>
      <c r="H28" s="3" t="s">
        <v>27</v>
      </c>
      <c r="I28" s="5" t="s">
        <v>28</v>
      </c>
      <c r="J28" s="3"/>
      <c r="R28" s="16">
        <f>X21</f>
        <v>35.572499999999998</v>
      </c>
      <c r="S28" s="3" t="s">
        <v>27</v>
      </c>
      <c r="T28" s="5" t="s">
        <v>28</v>
      </c>
      <c r="U28" s="3"/>
    </row>
    <row r="29" spans="7:26" x14ac:dyDescent="0.3">
      <c r="G29" t="s">
        <v>29</v>
      </c>
      <c r="H29" s="4">
        <v>500</v>
      </c>
      <c r="I29" s="6">
        <f>H29*G28*12</f>
        <v>59670</v>
      </c>
      <c r="J29" s="2"/>
      <c r="R29" t="s">
        <v>29</v>
      </c>
      <c r="S29" s="4">
        <v>100</v>
      </c>
      <c r="T29" s="6">
        <f>S29*R28*12</f>
        <v>42687</v>
      </c>
      <c r="U29" s="2"/>
    </row>
    <row r="30" spans="7:26" x14ac:dyDescent="0.3">
      <c r="G30" t="s">
        <v>30</v>
      </c>
      <c r="H30" s="4">
        <v>5000</v>
      </c>
      <c r="I30" s="6">
        <f>H30*G28*12</f>
        <v>596700</v>
      </c>
      <c r="J30" s="2"/>
      <c r="R30" t="s">
        <v>30</v>
      </c>
      <c r="S30" s="4">
        <v>500</v>
      </c>
      <c r="T30" s="6">
        <f>S30*R28*12</f>
        <v>213435</v>
      </c>
      <c r="U30" s="2"/>
    </row>
    <row r="31" spans="7:26" x14ac:dyDescent="0.3">
      <c r="G31" t="s">
        <v>31</v>
      </c>
      <c r="H31" s="4">
        <v>20000</v>
      </c>
      <c r="I31" s="6">
        <f>H31*G28*12</f>
        <v>2386800</v>
      </c>
      <c r="J31" s="2"/>
      <c r="R31" t="s">
        <v>31</v>
      </c>
      <c r="S31" s="4">
        <v>2500</v>
      </c>
      <c r="T31" s="6">
        <f>S31*R28*12</f>
        <v>1067175</v>
      </c>
      <c r="U31" s="2"/>
    </row>
    <row r="32" spans="7:26" x14ac:dyDescent="0.3">
      <c r="H32" s="4"/>
      <c r="I32" s="6"/>
      <c r="J32" s="2"/>
      <c r="S32" s="4"/>
      <c r="T32" s="6"/>
      <c r="U32" s="2"/>
    </row>
    <row r="34" spans="7:24" ht="25.8" x14ac:dyDescent="0.5">
      <c r="G34" s="15" t="s">
        <v>25</v>
      </c>
      <c r="H34" s="3" t="s">
        <v>2</v>
      </c>
      <c r="I34" s="19" t="s">
        <v>15</v>
      </c>
      <c r="J34" s="19"/>
      <c r="K34" s="19"/>
      <c r="L34" s="19"/>
      <c r="R34" s="15" t="s">
        <v>25</v>
      </c>
      <c r="S34" s="3" t="s">
        <v>2</v>
      </c>
      <c r="T34" s="19" t="s">
        <v>15</v>
      </c>
      <c r="U34" s="19"/>
      <c r="V34" s="19"/>
      <c r="W34" s="19"/>
    </row>
    <row r="35" spans="7:24" x14ac:dyDescent="0.3">
      <c r="I35" t="s">
        <v>13</v>
      </c>
      <c r="J35" s="19" t="s">
        <v>14</v>
      </c>
      <c r="K35" s="19"/>
      <c r="M35" s="1"/>
      <c r="T35" t="s">
        <v>13</v>
      </c>
      <c r="U35" s="19" t="s">
        <v>14</v>
      </c>
      <c r="V35" s="19"/>
      <c r="X35" s="1"/>
    </row>
    <row r="36" spans="7:24" x14ac:dyDescent="0.3">
      <c r="H36" t="s">
        <v>0</v>
      </c>
      <c r="I36">
        <v>1</v>
      </c>
      <c r="J36" s="1">
        <v>5</v>
      </c>
      <c r="K36" s="1">
        <v>10</v>
      </c>
      <c r="L36" s="1"/>
      <c r="M36" s="1"/>
      <c r="S36" t="s">
        <v>0</v>
      </c>
      <c r="T36">
        <v>1</v>
      </c>
      <c r="U36" s="1">
        <v>5</v>
      </c>
      <c r="V36" s="1">
        <v>10</v>
      </c>
      <c r="W36" s="1"/>
      <c r="X36" s="1"/>
    </row>
    <row r="37" spans="7:24" x14ac:dyDescent="0.3">
      <c r="I37">
        <v>1</v>
      </c>
      <c r="J37">
        <v>1</v>
      </c>
      <c r="K37">
        <v>1</v>
      </c>
      <c r="M37" s="11"/>
      <c r="T37">
        <v>1</v>
      </c>
      <c r="U37">
        <v>1</v>
      </c>
      <c r="V37">
        <v>1</v>
      </c>
      <c r="X37" s="11"/>
    </row>
    <row r="38" spans="7:24" x14ac:dyDescent="0.3">
      <c r="H38" t="s">
        <v>18</v>
      </c>
      <c r="I38">
        <v>0</v>
      </c>
      <c r="J38">
        <v>0</v>
      </c>
      <c r="K38">
        <v>0</v>
      </c>
      <c r="M38" s="11"/>
      <c r="S38" t="s">
        <v>18</v>
      </c>
      <c r="T38">
        <v>0</v>
      </c>
      <c r="U38">
        <v>0</v>
      </c>
      <c r="V38">
        <v>0</v>
      </c>
      <c r="X38" s="11"/>
    </row>
    <row r="39" spans="7:24" x14ac:dyDescent="0.3">
      <c r="H39" t="s">
        <v>19</v>
      </c>
      <c r="I39" s="14">
        <v>0</v>
      </c>
      <c r="J39" s="14">
        <v>0.2</v>
      </c>
      <c r="K39" s="14">
        <v>0.3</v>
      </c>
      <c r="L39" s="14"/>
      <c r="M39" s="11"/>
      <c r="S39" t="s">
        <v>19</v>
      </c>
      <c r="T39" s="14">
        <v>0</v>
      </c>
      <c r="U39" s="14">
        <v>0.2</v>
      </c>
      <c r="V39" s="14">
        <v>0.3</v>
      </c>
      <c r="W39" s="14"/>
      <c r="X39" s="11"/>
    </row>
    <row r="40" spans="7:24" x14ac:dyDescent="0.3">
      <c r="H40" s="3" t="s">
        <v>17</v>
      </c>
      <c r="I40" s="2">
        <f>I38*(1-I39)</f>
        <v>0</v>
      </c>
      <c r="J40" s="2">
        <f>J38*(1-J39)</f>
        <v>0</v>
      </c>
      <c r="K40" s="2">
        <f>K38*(1-K39)</f>
        <v>0</v>
      </c>
      <c r="L40" s="2"/>
      <c r="M40" s="12"/>
      <c r="S40" s="3" t="s">
        <v>17</v>
      </c>
      <c r="T40" s="2">
        <f>T38*(1-T39)</f>
        <v>0</v>
      </c>
      <c r="U40" s="2">
        <f>U38*(1-U39)</f>
        <v>0</v>
      </c>
      <c r="V40" s="2">
        <f>V38*(1-V39)</f>
        <v>0</v>
      </c>
      <c r="W40" s="2"/>
      <c r="X40" s="12"/>
    </row>
    <row r="41" spans="7:24" x14ac:dyDescent="0.3">
      <c r="I41" s="2"/>
      <c r="J41" s="2"/>
      <c r="K41" s="2"/>
      <c r="L41" s="12"/>
      <c r="M41" s="12"/>
      <c r="T41" s="2"/>
      <c r="U41" s="2"/>
      <c r="V41" s="2"/>
      <c r="W41" s="12"/>
      <c r="X41" s="12"/>
    </row>
    <row r="42" spans="7:24" x14ac:dyDescent="0.3">
      <c r="H42" s="3" t="s">
        <v>12</v>
      </c>
      <c r="I42" s="2"/>
      <c r="J42" s="2"/>
      <c r="K42" s="2"/>
      <c r="L42" s="12"/>
      <c r="M42" s="12"/>
      <c r="S42" s="3" t="s">
        <v>12</v>
      </c>
      <c r="T42" s="2"/>
      <c r="U42" s="2"/>
      <c r="V42" s="2"/>
      <c r="W42" s="12"/>
      <c r="X42" s="12"/>
    </row>
    <row r="43" spans="7:24" x14ac:dyDescent="0.3">
      <c r="H43" t="s">
        <v>3</v>
      </c>
      <c r="I43" s="2">
        <v>5</v>
      </c>
      <c r="J43" s="2">
        <f t="shared" ref="J43:J50" si="4">I43*(1-$J$7)</f>
        <v>4</v>
      </c>
      <c r="K43" s="2">
        <f t="shared" ref="K43:K50" si="5">I43*(1-$K$7)</f>
        <v>3.5</v>
      </c>
      <c r="L43" s="2"/>
      <c r="M43" s="12"/>
      <c r="S43" t="s">
        <v>3</v>
      </c>
      <c r="T43" s="2">
        <v>10</v>
      </c>
      <c r="U43" s="2">
        <f t="shared" ref="U43:U50" si="6">T43*(1-$J$7)</f>
        <v>8</v>
      </c>
      <c r="V43" s="2">
        <f t="shared" ref="V43:V50" si="7">T43*(1-$K$7)</f>
        <v>7</v>
      </c>
      <c r="W43" s="2"/>
      <c r="X43" s="12"/>
    </row>
    <row r="44" spans="7:24" x14ac:dyDescent="0.3">
      <c r="H44" t="s">
        <v>6</v>
      </c>
      <c r="I44" s="2">
        <v>5</v>
      </c>
      <c r="J44" s="2">
        <f t="shared" si="4"/>
        <v>4</v>
      </c>
      <c r="K44" s="2">
        <f t="shared" si="5"/>
        <v>3.5</v>
      </c>
      <c r="L44" s="2"/>
      <c r="M44" s="12"/>
      <c r="S44" t="s">
        <v>6</v>
      </c>
      <c r="T44" s="2">
        <v>10</v>
      </c>
      <c r="U44" s="2">
        <f t="shared" si="6"/>
        <v>8</v>
      </c>
      <c r="V44" s="2">
        <f t="shared" si="7"/>
        <v>7</v>
      </c>
      <c r="W44" s="2"/>
      <c r="X44" s="12"/>
    </row>
    <row r="45" spans="7:24" x14ac:dyDescent="0.3">
      <c r="H45" t="s">
        <v>5</v>
      </c>
      <c r="I45" s="2">
        <v>50</v>
      </c>
      <c r="J45" s="2">
        <f t="shared" si="4"/>
        <v>40</v>
      </c>
      <c r="K45" s="2">
        <f t="shared" si="5"/>
        <v>35</v>
      </c>
      <c r="L45" s="2"/>
      <c r="M45" s="12"/>
      <c r="S45" t="s">
        <v>5</v>
      </c>
      <c r="T45" s="2">
        <v>200</v>
      </c>
      <c r="U45" s="2">
        <f t="shared" si="6"/>
        <v>160</v>
      </c>
      <c r="V45" s="2">
        <f t="shared" si="7"/>
        <v>140</v>
      </c>
      <c r="W45" s="2"/>
      <c r="X45" s="12"/>
    </row>
    <row r="46" spans="7:24" x14ac:dyDescent="0.3">
      <c r="H46" t="s">
        <v>7</v>
      </c>
      <c r="I46" s="2">
        <v>50</v>
      </c>
      <c r="J46" s="2">
        <f t="shared" si="4"/>
        <v>40</v>
      </c>
      <c r="K46" s="2">
        <f t="shared" si="5"/>
        <v>35</v>
      </c>
      <c r="L46" s="2"/>
      <c r="M46" s="12"/>
      <c r="S46" t="s">
        <v>7</v>
      </c>
      <c r="T46" s="2">
        <v>200</v>
      </c>
      <c r="U46" s="2">
        <f t="shared" si="6"/>
        <v>160</v>
      </c>
      <c r="V46" s="2">
        <f t="shared" si="7"/>
        <v>140</v>
      </c>
      <c r="W46" s="2"/>
      <c r="X46" s="12"/>
    </row>
    <row r="47" spans="7:24" x14ac:dyDescent="0.3">
      <c r="H47" t="s">
        <v>4</v>
      </c>
      <c r="I47" s="2">
        <v>35</v>
      </c>
      <c r="J47" s="2">
        <f t="shared" si="4"/>
        <v>28</v>
      </c>
      <c r="K47" s="2">
        <f t="shared" si="5"/>
        <v>24.5</v>
      </c>
      <c r="L47" s="2"/>
      <c r="M47" s="12"/>
      <c r="S47" t="s">
        <v>4</v>
      </c>
      <c r="T47" s="2">
        <v>100</v>
      </c>
      <c r="U47" s="2">
        <f t="shared" si="6"/>
        <v>80</v>
      </c>
      <c r="V47" s="2">
        <f t="shared" si="7"/>
        <v>70</v>
      </c>
      <c r="W47" s="2"/>
      <c r="X47" s="12"/>
    </row>
    <row r="48" spans="7:24" x14ac:dyDescent="0.3">
      <c r="H48" t="s">
        <v>21</v>
      </c>
      <c r="I48" s="2">
        <v>35</v>
      </c>
      <c r="J48" s="2">
        <f t="shared" si="4"/>
        <v>28</v>
      </c>
      <c r="K48" s="2">
        <f t="shared" si="5"/>
        <v>24.5</v>
      </c>
      <c r="L48" s="2"/>
      <c r="M48" s="12"/>
      <c r="S48" t="s">
        <v>21</v>
      </c>
      <c r="T48" s="2">
        <v>100</v>
      </c>
      <c r="U48" s="2">
        <f t="shared" si="6"/>
        <v>80</v>
      </c>
      <c r="V48" s="2">
        <f t="shared" si="7"/>
        <v>70</v>
      </c>
      <c r="W48" s="2"/>
      <c r="X48" s="12"/>
    </row>
    <row r="49" spans="7:26" x14ac:dyDescent="0.3">
      <c r="H49" t="s">
        <v>20</v>
      </c>
      <c r="I49" s="2">
        <v>20</v>
      </c>
      <c r="J49" s="2">
        <f t="shared" si="4"/>
        <v>16</v>
      </c>
      <c r="K49" s="2">
        <f t="shared" si="5"/>
        <v>14</v>
      </c>
      <c r="L49" s="2"/>
      <c r="M49" s="12"/>
      <c r="S49" t="s">
        <v>20</v>
      </c>
      <c r="T49" s="2">
        <v>50</v>
      </c>
      <c r="U49" s="2">
        <f t="shared" si="6"/>
        <v>40</v>
      </c>
      <c r="V49" s="2">
        <f t="shared" si="7"/>
        <v>35</v>
      </c>
      <c r="W49" s="2"/>
      <c r="X49" s="12"/>
    </row>
    <row r="50" spans="7:26" x14ac:dyDescent="0.3">
      <c r="H50" t="s">
        <v>10</v>
      </c>
      <c r="I50" s="2">
        <v>5</v>
      </c>
      <c r="J50" s="2">
        <f t="shared" si="4"/>
        <v>4</v>
      </c>
      <c r="K50" s="2">
        <f t="shared" si="5"/>
        <v>3.5</v>
      </c>
      <c r="L50" s="2"/>
      <c r="M50" s="12"/>
      <c r="S50" t="s">
        <v>10</v>
      </c>
      <c r="T50" s="2">
        <v>10</v>
      </c>
      <c r="U50" s="2">
        <f t="shared" si="6"/>
        <v>8</v>
      </c>
      <c r="V50" s="2">
        <f t="shared" si="7"/>
        <v>7</v>
      </c>
      <c r="W50" s="2"/>
      <c r="X50" s="12"/>
    </row>
    <row r="51" spans="7:26" x14ac:dyDescent="0.3">
      <c r="H51" s="7" t="s">
        <v>11</v>
      </c>
      <c r="I51" s="8">
        <f>SUM(I40:I50)</f>
        <v>205</v>
      </c>
      <c r="J51" s="8">
        <f>SUM(J40:J50)</f>
        <v>164</v>
      </c>
      <c r="K51" s="8">
        <f>SUM(K40:K50)</f>
        <v>143.5</v>
      </c>
      <c r="L51" s="8"/>
      <c r="M51" s="12">
        <f>AVERAGE(I51:K51)</f>
        <v>170.83333333333334</v>
      </c>
      <c r="S51" s="7" t="s">
        <v>11</v>
      </c>
      <c r="T51" s="8">
        <f>SUM(T40:T50)</f>
        <v>680</v>
      </c>
      <c r="U51" s="8">
        <f>SUM(U40:U50)</f>
        <v>544</v>
      </c>
      <c r="V51" s="8">
        <f>SUM(V40:V50)</f>
        <v>476</v>
      </c>
      <c r="W51" s="8"/>
      <c r="X51" s="12">
        <f>AVERAGE(T51:V51)</f>
        <v>566.66666666666663</v>
      </c>
    </row>
    <row r="52" spans="7:26" x14ac:dyDescent="0.3">
      <c r="H52" s="7"/>
      <c r="I52" s="8"/>
      <c r="J52" s="8"/>
      <c r="K52" s="8"/>
      <c r="L52" s="8"/>
      <c r="M52" s="12"/>
      <c r="S52" s="7"/>
      <c r="T52" s="8"/>
      <c r="U52" s="8"/>
      <c r="V52" s="8"/>
      <c r="W52" s="8"/>
      <c r="X52" s="12"/>
    </row>
    <row r="53" spans="7:26" x14ac:dyDescent="0.3">
      <c r="H53" s="17">
        <v>0.5</v>
      </c>
      <c r="I53" s="8">
        <f>I51*$H$53</f>
        <v>102.5</v>
      </c>
      <c r="J53" s="8">
        <f>J51*$H$53</f>
        <v>82</v>
      </c>
      <c r="K53" s="8">
        <f>K51*$H$53</f>
        <v>71.75</v>
      </c>
      <c r="L53" s="8">
        <f>L51*$H$21</f>
        <v>0</v>
      </c>
      <c r="M53" s="12">
        <f>AVERAGE(I53:L53)</f>
        <v>64.0625</v>
      </c>
      <c r="S53" s="17">
        <v>0.5</v>
      </c>
      <c r="T53" s="8">
        <f>T51*$S$53</f>
        <v>340</v>
      </c>
      <c r="U53" s="8">
        <f>U51*$S$53</f>
        <v>272</v>
      </c>
      <c r="V53" s="8">
        <f>V51*$S$53</f>
        <v>238</v>
      </c>
      <c r="W53" s="8">
        <f>W51*$S$21</f>
        <v>0</v>
      </c>
      <c r="X53" s="12">
        <f>AVERAGE(T53:W53)</f>
        <v>212.5</v>
      </c>
    </row>
    <row r="54" spans="7:26" x14ac:dyDescent="0.3">
      <c r="M54" s="11"/>
      <c r="X54" s="11"/>
    </row>
    <row r="55" spans="7:26" x14ac:dyDescent="0.3">
      <c r="H55" s="9" t="s">
        <v>8</v>
      </c>
      <c r="I55" s="10">
        <f>I40</f>
        <v>0</v>
      </c>
      <c r="J55" s="10">
        <f>J40/J37</f>
        <v>0</v>
      </c>
      <c r="K55" s="10">
        <f>K40/K37</f>
        <v>0</v>
      </c>
      <c r="L55" s="10"/>
      <c r="M55" s="13"/>
      <c r="S55" s="9" t="s">
        <v>8</v>
      </c>
      <c r="T55" s="10">
        <f>T40</f>
        <v>0</v>
      </c>
      <c r="U55" s="10">
        <f>U40/U37</f>
        <v>0</v>
      </c>
      <c r="V55" s="10">
        <f>V40/V37</f>
        <v>0</v>
      </c>
      <c r="W55" s="10"/>
      <c r="X55" s="13"/>
    </row>
    <row r="56" spans="7:26" x14ac:dyDescent="0.3">
      <c r="H56" s="9" t="s">
        <v>9</v>
      </c>
      <c r="I56" s="10">
        <f>SUM(I40:I50)/I37</f>
        <v>205</v>
      </c>
      <c r="J56" s="10">
        <f>SUM(J40:J50)/J37</f>
        <v>164</v>
      </c>
      <c r="K56" s="10">
        <f>SUM(K40:K50)/K37</f>
        <v>143.5</v>
      </c>
      <c r="L56" s="10"/>
      <c r="M56" s="13"/>
      <c r="S56" s="9" t="s">
        <v>9</v>
      </c>
      <c r="T56" s="10">
        <f>SUM(T40:T50)/T37</f>
        <v>680</v>
      </c>
      <c r="U56" s="10">
        <f>SUM(U40:U50)/U37</f>
        <v>544</v>
      </c>
      <c r="V56" s="10">
        <f>SUM(V40:V50)/V37</f>
        <v>476</v>
      </c>
      <c r="W56" s="10"/>
      <c r="X56" s="13"/>
      <c r="Z56" s="2"/>
    </row>
    <row r="57" spans="7:26" x14ac:dyDescent="0.3">
      <c r="M57" s="11"/>
      <c r="X57" s="11"/>
    </row>
    <row r="58" spans="7:26" x14ac:dyDescent="0.3">
      <c r="H58" s="9" t="s">
        <v>22</v>
      </c>
      <c r="I58" s="10">
        <f>I56/I37</f>
        <v>205</v>
      </c>
      <c r="J58" s="10">
        <f>J56/J37</f>
        <v>164</v>
      </c>
      <c r="K58" s="10">
        <f>K56/K37</f>
        <v>143.5</v>
      </c>
      <c r="L58" s="10"/>
      <c r="M58" s="12"/>
      <c r="S58" s="9" t="s">
        <v>22</v>
      </c>
      <c r="T58" s="10">
        <f>T56/T37</f>
        <v>680</v>
      </c>
      <c r="U58" s="10">
        <f>U56/U37</f>
        <v>544</v>
      </c>
      <c r="V58" s="10">
        <f>V56/V37</f>
        <v>476</v>
      </c>
      <c r="W58" s="10"/>
      <c r="X58" s="12"/>
    </row>
    <row r="60" spans="7:26" x14ac:dyDescent="0.3">
      <c r="G60" s="3">
        <v>170</v>
      </c>
      <c r="H60" s="3" t="s">
        <v>27</v>
      </c>
      <c r="I60" s="5" t="s">
        <v>28</v>
      </c>
      <c r="J60" s="3"/>
      <c r="R60" s="16">
        <f>X53</f>
        <v>212.5</v>
      </c>
      <c r="S60" s="3" t="s">
        <v>27</v>
      </c>
      <c r="T60" s="5" t="s">
        <v>28</v>
      </c>
      <c r="U60" s="3"/>
    </row>
    <row r="61" spans="7:26" x14ac:dyDescent="0.3">
      <c r="G61" t="s">
        <v>29</v>
      </c>
      <c r="H61" s="4">
        <v>100</v>
      </c>
      <c r="I61" s="6">
        <f>H61*G60*12</f>
        <v>204000</v>
      </c>
      <c r="J61" s="2"/>
      <c r="R61" t="s">
        <v>29</v>
      </c>
      <c r="S61" s="4">
        <v>50</v>
      </c>
      <c r="T61" s="6">
        <f>S61*R60*12</f>
        <v>127500</v>
      </c>
      <c r="U61" s="2"/>
    </row>
    <row r="62" spans="7:26" x14ac:dyDescent="0.3">
      <c r="G62" t="s">
        <v>30</v>
      </c>
      <c r="H62" s="4">
        <v>500</v>
      </c>
      <c r="I62" s="6">
        <f>H62*G60*12</f>
        <v>1020000</v>
      </c>
      <c r="J62" s="2"/>
      <c r="R62" t="s">
        <v>30</v>
      </c>
      <c r="S62" s="4">
        <v>250</v>
      </c>
      <c r="T62" s="6">
        <f>S62*R60*12</f>
        <v>637500</v>
      </c>
      <c r="U62" s="2"/>
    </row>
    <row r="63" spans="7:26" x14ac:dyDescent="0.3">
      <c r="G63" t="s">
        <v>31</v>
      </c>
      <c r="H63" s="4">
        <v>2000</v>
      </c>
      <c r="I63" s="6">
        <f>H63*G60*12</f>
        <v>4080000</v>
      </c>
      <c r="J63" s="2"/>
      <c r="R63" t="s">
        <v>31</v>
      </c>
      <c r="S63" s="4">
        <v>1000</v>
      </c>
      <c r="T63" s="6">
        <f>S63*R60*12</f>
        <v>2550000</v>
      </c>
    </row>
    <row r="64" spans="7:26" x14ac:dyDescent="0.3">
      <c r="H64" s="4"/>
      <c r="I64" s="6"/>
      <c r="J64" s="2"/>
    </row>
  </sheetData>
  <mergeCells count="8">
    <mergeCell ref="I2:L2"/>
    <mergeCell ref="J3:K3"/>
    <mergeCell ref="I34:L34"/>
    <mergeCell ref="J35:K35"/>
    <mergeCell ref="T2:W2"/>
    <mergeCell ref="U3:V3"/>
    <mergeCell ref="T34:W34"/>
    <mergeCell ref="U35:V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9"/>
  <sheetViews>
    <sheetView workbookViewId="0">
      <selection activeCell="J9" sqref="J9"/>
    </sheetView>
  </sheetViews>
  <sheetFormatPr baseColWidth="10" defaultColWidth="8.77734375" defaultRowHeight="14.4" x14ac:dyDescent="0.3"/>
  <cols>
    <col min="1" max="1" width="9.44140625" bestFit="1" customWidth="1"/>
    <col min="2" max="2" width="12.109375" bestFit="1" customWidth="1"/>
    <col min="3" max="4" width="12.109375" customWidth="1"/>
    <col min="5" max="5" width="9.44140625" bestFit="1" customWidth="1"/>
    <col min="6" max="6" width="10" customWidth="1"/>
  </cols>
  <sheetData>
    <row r="3" spans="2:10" x14ac:dyDescent="0.3">
      <c r="B3" t="s">
        <v>32</v>
      </c>
    </row>
    <row r="5" spans="2:10" x14ac:dyDescent="0.3">
      <c r="B5" s="3" t="s">
        <v>33</v>
      </c>
      <c r="C5" s="3"/>
      <c r="D5" s="3" t="s">
        <v>40</v>
      </c>
      <c r="F5" s="3" t="s">
        <v>34</v>
      </c>
      <c r="H5" s="3" t="s">
        <v>35</v>
      </c>
      <c r="J5" s="3" t="s">
        <v>36</v>
      </c>
    </row>
    <row r="7" spans="2:10" x14ac:dyDescent="0.3">
      <c r="B7" t="s">
        <v>37</v>
      </c>
      <c r="D7" t="s">
        <v>41</v>
      </c>
      <c r="F7" t="s">
        <v>38</v>
      </c>
      <c r="H7" s="18">
        <v>30000</v>
      </c>
      <c r="J7" t="s">
        <v>39</v>
      </c>
    </row>
    <row r="9" spans="2:10" x14ac:dyDescent="0.3">
      <c r="B9" t="s">
        <v>42</v>
      </c>
      <c r="D9" t="s">
        <v>43</v>
      </c>
      <c r="F9" t="s">
        <v>44</v>
      </c>
      <c r="H9" s="18">
        <v>50000</v>
      </c>
      <c r="J9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11"/>
  <sheetViews>
    <sheetView tabSelected="1" workbookViewId="0">
      <selection activeCell="B9" sqref="B9"/>
    </sheetView>
  </sheetViews>
  <sheetFormatPr baseColWidth="10" defaultColWidth="8.77734375" defaultRowHeight="14.4" x14ac:dyDescent="0.3"/>
  <cols>
    <col min="1" max="1" width="11.77734375" customWidth="1"/>
    <col min="2" max="2" width="17.109375" customWidth="1"/>
    <col min="3" max="3" width="14.6640625" customWidth="1"/>
    <col min="4" max="4" width="14.21875" customWidth="1"/>
  </cols>
  <sheetData>
    <row r="3" spans="2:3" x14ac:dyDescent="0.3">
      <c r="B3" t="s">
        <v>46</v>
      </c>
    </row>
    <row r="5" spans="2:3" x14ac:dyDescent="0.3">
      <c r="B5" s="3" t="s">
        <v>47</v>
      </c>
    </row>
    <row r="6" spans="2:3" x14ac:dyDescent="0.3">
      <c r="B6" t="s">
        <v>52</v>
      </c>
    </row>
    <row r="7" spans="2:3" x14ac:dyDescent="0.3">
      <c r="B7" t="s">
        <v>53</v>
      </c>
      <c r="C7" t="s">
        <v>48</v>
      </c>
    </row>
    <row r="8" spans="2:3" x14ac:dyDescent="0.3">
      <c r="B8" t="s">
        <v>54</v>
      </c>
      <c r="C8" t="s">
        <v>49</v>
      </c>
    </row>
    <row r="10" spans="2:3" x14ac:dyDescent="0.3">
      <c r="B10" t="s">
        <v>50</v>
      </c>
    </row>
    <row r="11" spans="2:3" x14ac:dyDescent="0.3">
      <c r="B1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Monetarisierung Inserate</vt:lpstr>
      <vt:lpstr>Monetarisierung Ads</vt:lpstr>
      <vt:lpstr>Monetarisierung Premium Suchend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Nahom Mekbeb</cp:lastModifiedBy>
  <dcterms:created xsi:type="dcterms:W3CDTF">2025-05-16T07:22:29Z</dcterms:created>
  <dcterms:modified xsi:type="dcterms:W3CDTF">2025-05-16T15:03:11Z</dcterms:modified>
</cp:coreProperties>
</file>